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-Omen-15\Documents\TesteurLogiciel\qa-api-testing-postman\"/>
    </mc:Choice>
  </mc:AlternateContent>
  <bookViews>
    <workbookView xWindow="0" yWindow="0" windowWidth="23040" windowHeight="8496"/>
  </bookViews>
  <sheets>
    <sheet name="Execution Results" sheetId="1" r:id="rId1"/>
    <sheet name="Summary" sheetId="2" r:id="rId2"/>
    <sheet name="Bug Traceability" sheetId="3" r:id="rId3"/>
    <sheet name="Legend" sheetId="4" r:id="rId4"/>
  </sheets>
  <calcPr calcId="162913"/>
</workbook>
</file>

<file path=xl/calcChain.xml><?xml version="1.0" encoding="utf-8"?>
<calcChain xmlns="http://schemas.openxmlformats.org/spreadsheetml/2006/main">
  <c r="D16" i="2" l="1"/>
  <c r="C16" i="2"/>
  <c r="B16" i="2"/>
  <c r="D15" i="2"/>
  <c r="C15" i="2"/>
  <c r="B15" i="2"/>
  <c r="D14" i="2"/>
  <c r="C14" i="2"/>
  <c r="B14" i="2"/>
  <c r="E8" i="2"/>
  <c r="E7" i="2"/>
  <c r="E6" i="2"/>
  <c r="E9" i="2" s="1"/>
  <c r="E5" i="2"/>
  <c r="E4" i="2"/>
</calcChain>
</file>

<file path=xl/sharedStrings.xml><?xml version="1.0" encoding="utf-8"?>
<sst xmlns="http://schemas.openxmlformats.org/spreadsheetml/2006/main" count="297" uniqueCount="155">
  <si>
    <t>API Testing – User Management System | Test Execution</t>
  </si>
  <si>
    <t>Project</t>
  </si>
  <si>
    <t>API Testing – User Management System</t>
  </si>
  <si>
    <t>API</t>
  </si>
  <si>
    <t>ReqRes</t>
  </si>
  <si>
    <t>Base URL</t>
  </si>
  <si>
    <t>https://reqres.in</t>
  </si>
  <si>
    <t>Tool</t>
  </si>
  <si>
    <t>Postman</t>
  </si>
  <si>
    <t>Environment</t>
  </si>
  <si>
    <t>QA-API-Environment</t>
  </si>
  <si>
    <t>Execution Date</t>
  </si>
  <si>
    <t>2026-09-18</t>
  </si>
  <si>
    <t>Total Test Cases</t>
  </si>
  <si>
    <t>Final Result</t>
  </si>
  <si>
    <t>28 PASS / 2 FAIL</t>
  </si>
  <si>
    <t>Test Case ID</t>
  </si>
  <si>
    <t>Scenario ID</t>
  </si>
  <si>
    <t>Test Case</t>
  </si>
  <si>
    <t>Type</t>
  </si>
  <si>
    <t>Priority</t>
  </si>
  <si>
    <t>Status</t>
  </si>
  <si>
    <t>HTTP Status</t>
  </si>
  <si>
    <t>Response Time (ms)</t>
  </si>
  <si>
    <t>Notes</t>
  </si>
  <si>
    <t>TC-AUTH-001</t>
  </si>
  <si>
    <t>API-SC-001</t>
  </si>
  <si>
    <t>Login with valid credentials</t>
  </si>
  <si>
    <t>Positive</t>
  </si>
  <si>
    <t>High</t>
  </si>
  <si>
    <t>PASS</t>
  </si>
  <si>
    <t>TC-AUTH-002</t>
  </si>
  <si>
    <t>API-SC-002</t>
  </si>
  <si>
    <t>Login with invalid credentials</t>
  </si>
  <si>
    <t>Negative</t>
  </si>
  <si>
    <t>FAIL</t>
  </si>
  <si>
    <t>Jira: SCRUM-26</t>
  </si>
  <si>
    <t>TC-AUTH-003</t>
  </si>
  <si>
    <t>API-SC-003</t>
  </si>
  <si>
    <t>Login without password</t>
  </si>
  <si>
    <t>TC-AUTH-004</t>
  </si>
  <si>
    <t>API-SC-004</t>
  </si>
  <si>
    <t>Login without email</t>
  </si>
  <si>
    <t>TC-AUTH-005</t>
  </si>
  <si>
    <t>API-SC-005</t>
  </si>
  <si>
    <t>Login with empty request body</t>
  </si>
  <si>
    <t>Medium</t>
  </si>
  <si>
    <t>TC-AUTH-006</t>
  </si>
  <si>
    <t>API-SC-007</t>
  </si>
  <si>
    <t>Request without API key</t>
  </si>
  <si>
    <t>Jira: SCRUM-27; no x-api-key header</t>
  </si>
  <si>
    <t>TC-AUTH-007</t>
  </si>
  <si>
    <t>API-SC-008</t>
  </si>
  <si>
    <t>Request with invalid API key</t>
  </si>
  <si>
    <t>TC-GET-001</t>
  </si>
  <si>
    <t>API-SC-009</t>
  </si>
  <si>
    <t>Retrieve users successfully</t>
  </si>
  <si>
    <t>TC-GET-002</t>
  </si>
  <si>
    <t>API-SC-010</t>
  </si>
  <si>
    <t>Retrieve users using pagination</t>
  </si>
  <si>
    <t>TC-GET-003</t>
  </si>
  <si>
    <t>API-SC-011</t>
  </si>
  <si>
    <t>Retrieve a user using a valid ID</t>
  </si>
  <si>
    <t>Revalidated after variable-scope correction</t>
  </si>
  <si>
    <t>TC-GET-004</t>
  </si>
  <si>
    <t>API-SC-012</t>
  </si>
  <si>
    <t>Retrieve a non-existing user</t>
  </si>
  <si>
    <t>TC-GET-005</t>
  </si>
  <si>
    <t>API-SC-013</t>
  </si>
  <si>
    <t>Retrieve a user using an invalid ID</t>
  </si>
  <si>
    <t>TC-GET-006</t>
  </si>
  <si>
    <t>API-SC-023</t>
  </si>
  <si>
    <t>Validate user response structure</t>
  </si>
  <si>
    <t>Validation</t>
  </si>
  <si>
    <t>Revalidated after URL variable correction</t>
  </si>
  <si>
    <t>TC-GET-007</t>
  </si>
  <si>
    <t>Validate pagination metadata</t>
  </si>
  <si>
    <t>TC-POST-001</t>
  </si>
  <si>
    <t>API-SC-014</t>
  </si>
  <si>
    <t>Create user with valid data</t>
  </si>
  <si>
    <t>TC-POST-002</t>
  </si>
  <si>
    <t>API-SC-015</t>
  </si>
  <si>
    <t>Create user with missing name</t>
  </si>
  <si>
    <t>Observed 201 accepted by current test oracle</t>
  </si>
  <si>
    <t>TC-POST-003</t>
  </si>
  <si>
    <t>API-SC-016</t>
  </si>
  <si>
    <t>Create user with missing job</t>
  </si>
  <si>
    <t>TC-POST-004</t>
  </si>
  <si>
    <t>API-SC-017</t>
  </si>
  <si>
    <t>Create user with empty request body</t>
  </si>
  <si>
    <t>TC-POST-005</t>
  </si>
  <si>
    <t>Validate created user response</t>
  </si>
  <si>
    <t>TC-PUT-001</t>
  </si>
  <si>
    <t>API-SC-018</t>
  </si>
  <si>
    <t>Update user with valid data</t>
  </si>
  <si>
    <t>TC-PUT-002</t>
  </si>
  <si>
    <t>API-SC-019</t>
  </si>
  <si>
    <t>Update user using a non-existing ID</t>
  </si>
  <si>
    <t>Observed 200 accepted by current test oracle</t>
  </si>
  <si>
    <t>TC-PUT-003</t>
  </si>
  <si>
    <t>Validate updated user response</t>
  </si>
  <si>
    <t>TC-PATCH-001</t>
  </si>
  <si>
    <t>API-SC-020</t>
  </si>
  <si>
    <t>Partially update a user</t>
  </si>
  <si>
    <t>TC-DELETE-001</t>
  </si>
  <si>
    <t>API-SC-021</t>
  </si>
  <si>
    <t>Delete an existing user</t>
  </si>
  <si>
    <t>TC-DELETE-002</t>
  </si>
  <si>
    <t>API-SC-022</t>
  </si>
  <si>
    <t>Delete a user using a non-existing user</t>
  </si>
  <si>
    <t>TC-VAL-001</t>
  </si>
  <si>
    <t>Validate HTTP status code</t>
  </si>
  <si>
    <t>TC-VAL-002</t>
  </si>
  <si>
    <t>Validate Content-Type header</t>
  </si>
  <si>
    <t>TC-VAL-003</t>
  </si>
  <si>
    <t>Validate response time</t>
  </si>
  <si>
    <t>Low</t>
  </si>
  <si>
    <t>TC-VAL-004</t>
  </si>
  <si>
    <t>Validate JSON data types</t>
  </si>
  <si>
    <t>TC-VAL-005</t>
  </si>
  <si>
    <t>Validate response required fields</t>
  </si>
  <si>
    <t>Test Execution Summary</t>
  </si>
  <si>
    <t>Execution Overview</t>
  </si>
  <si>
    <t>Results</t>
  </si>
  <si>
    <t>Total</t>
  </si>
  <si>
    <t>NOT RUN</t>
  </si>
  <si>
    <t>Pass Rate</t>
  </si>
  <si>
    <t>Fail Rate</t>
  </si>
  <si>
    <t>Results by Test Type</t>
  </si>
  <si>
    <t>Open Defects</t>
  </si>
  <si>
    <t>Bug ID</t>
  </si>
  <si>
    <t>Jira ID</t>
  </si>
  <si>
    <t>Severity</t>
  </si>
  <si>
    <t>BUG-API-001</t>
  </si>
  <si>
    <t>SCRUM-26</t>
  </si>
  <si>
    <t>P1</t>
  </si>
  <si>
    <t>BUG-API-002</t>
  </si>
  <si>
    <t>SCRUM-27</t>
  </si>
  <si>
    <t>Execution Notes</t>
  </si>
  <si>
    <t>• 30/30 test cases were executed.</t>
  </si>
  <si>
    <t>• Final result: 28 PASS and 2 FAIL.</t>
  </si>
  <si>
    <t>• TC-AUTH-002 failed: invalid credentials returned HTTP 200 with a token. Jira SCRUM-26.</t>
  </si>
  <si>
    <t>• TC-AUTH-006 failed: request without x-api-key returned HTTP 200 with user data. Jira SCRUM-27.</t>
  </si>
  <si>
    <t>• Initial configuration issues involving {{user_id}} and variable scope were corrected and revalidated.</t>
  </si>
  <si>
    <t>• POST negative cases returning 201 and PUT non-existing ID returning 200 were retained as PASS according to the current test oracle.</t>
  </si>
  <si>
    <t>Defect Traceability</t>
  </si>
  <si>
    <t>Bug Report ID</t>
  </si>
  <si>
    <t>Summary</t>
  </si>
  <si>
    <t>Invalid login credentials return HTTP 200 and a token</t>
  </si>
  <si>
    <t>Open</t>
  </si>
  <si>
    <t>Request without API key returns HTTP 200</t>
  </si>
  <si>
    <t>Test Execution Legend</t>
  </si>
  <si>
    <t>Expected result met.</t>
  </si>
  <si>
    <t>Observed result did not meet expected result.</t>
  </si>
  <si>
    <t>Test case not executed.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</si>
</sst>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b/>
      <sz val="16"/>
      <color rgb="FFFFFFFF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  <font>
      <b/>
      <sz val="12"/>
      <color rgb="FF1F4E7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E2F0D9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0" xfId="0" applyFont="1" applyFill="1"/>
    <xf numFmtId="0" fontId="3" fillId="2" borderId="0" xfId="0" applyFont="1" applyFill="1" applyAlignment="1">
      <alignment horizontal="center" wrapText="1"/>
    </xf>
    <xf numFmtId="0" fontId="0" fillId="0" borderId="1" xfId="0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4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2" fillId="4" borderId="0" xfId="0" applyFont="1" applyFill="1"/>
    <xf numFmtId="0" fontId="2" fillId="5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t>Overall Test Results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Summary!$D$5:$D$7</c:f>
              <c:strCache>
                <c:ptCount val="3"/>
                <c:pt idx="0">
                  <c:v>PASS</c:v>
                </c:pt>
                <c:pt idx="1">
                  <c:v>FAIL</c:v>
                </c:pt>
                <c:pt idx="2">
                  <c:v>NOT RUN</c:v>
                </c:pt>
              </c:strCache>
            </c:strRef>
          </c:cat>
          <c:val>
            <c:numRef>
              <c:f>Summary!$E$5:$E$7</c:f>
              <c:numCache>
                <c:formatCode>General</c:formatCode>
                <c:ptCount val="3"/>
                <c:pt idx="0">
                  <c:v>28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7D-4C24-BA4C-48C477E47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>
              <a:defRPr/>
            </a:pPr>
            <a:r>
              <a:t>Results by Test Type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Summary!$C$13</c:f>
              <c:strCache>
                <c:ptCount val="1"/>
                <c:pt idx="0">
                  <c:v>PASS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Summary!$A$14:$A$16</c:f>
              <c:strCache>
                <c:ptCount val="3"/>
                <c:pt idx="0">
                  <c:v>Positive</c:v>
                </c:pt>
                <c:pt idx="1">
                  <c:v>Negative</c:v>
                </c:pt>
                <c:pt idx="2">
                  <c:v>Validation</c:v>
                </c:pt>
              </c:strCache>
            </c:strRef>
          </c:cat>
          <c:val>
            <c:numRef>
              <c:f>Summary!$C$14:$C$16</c:f>
              <c:numCache>
                <c:formatCode>General</c:formatCode>
                <c:ptCount val="3"/>
                <c:pt idx="0">
                  <c:v>8</c:v>
                </c:pt>
                <c:pt idx="1">
                  <c:v>11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E2-4D16-A9C0-D8F6CD4BC061}"/>
            </c:ext>
          </c:extLst>
        </c:ser>
        <c:ser>
          <c:idx val="1"/>
          <c:order val="1"/>
          <c:tx>
            <c:strRef>
              <c:f>Summary!$D$13</c:f>
              <c:strCache>
                <c:ptCount val="1"/>
                <c:pt idx="0">
                  <c:v>FAIL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Summary!$A$14:$A$16</c:f>
              <c:strCache>
                <c:ptCount val="3"/>
                <c:pt idx="0">
                  <c:v>Positive</c:v>
                </c:pt>
                <c:pt idx="1">
                  <c:v>Negative</c:v>
                </c:pt>
                <c:pt idx="2">
                  <c:v>Validation</c:v>
                </c:pt>
              </c:strCache>
            </c:strRef>
          </c:cat>
          <c:val>
            <c:numRef>
              <c:f>Summary!$D$14:$D$16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E2-4D16-A9C0-D8F6CD4BC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Test Type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Test Cases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19</xdr:row>
      <xdr:rowOff>0</xdr:rowOff>
    </xdr:from>
    <xdr:ext cx="3600000" cy="252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26</xdr:row>
      <xdr:rowOff>0</xdr:rowOff>
    </xdr:from>
    <xdr:ext cx="4320000" cy="252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ExecutionResultsTable" displayName="ExecutionResultsTable" ref="A12:I42">
  <autoFilter ref="A12:I42"/>
  <tableColumns count="9">
    <tableColumn id="1" name="Test Case ID"/>
    <tableColumn id="2" name="Scenario ID"/>
    <tableColumn id="3" name="Test Case"/>
    <tableColumn id="4" name="Type"/>
    <tableColumn id="5" name="Priority"/>
    <tableColumn id="6" name="Status"/>
    <tableColumn id="7" name="HTTP Status"/>
    <tableColumn id="8" name="Response Time (ms)"/>
    <tableColumn id="9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ugTraceabilityTable" displayName="BugTraceabilityTable" ref="A3:H5">
  <autoFilter ref="A3:H5"/>
  <tableColumns count="8">
    <tableColumn id="1" name="Bug Report ID"/>
    <tableColumn id="2" name="Jira ID"/>
    <tableColumn id="3" name="Test Case ID"/>
    <tableColumn id="4" name="Scenario ID"/>
    <tableColumn id="5" name="Summary"/>
    <tableColumn id="6" name="Severity"/>
    <tableColumn id="7" name="Priority"/>
    <tableColumn id="8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showGridLines="0" tabSelected="1" workbookViewId="0">
      <pane ySplit="12" topLeftCell="A13" activePane="bottomLeft" state="frozen"/>
      <selection pane="bottomLeft" activeCell="G12" sqref="G12"/>
    </sheetView>
  </sheetViews>
  <sheetFormatPr baseColWidth="10" defaultColWidth="8.796875" defaultRowHeight="13.8" x14ac:dyDescent="0.25"/>
  <cols>
    <col min="1" max="1" width="18" customWidth="1"/>
    <col min="2" max="2" width="17" customWidth="1"/>
    <col min="3" max="3" width="46" customWidth="1"/>
    <col min="4" max="4" width="14" customWidth="1"/>
    <col min="5" max="6" width="12" customWidth="1"/>
    <col min="7" max="7" width="14" customWidth="1"/>
    <col min="8" max="8" width="20" customWidth="1"/>
    <col min="9" max="9" width="48" customWidth="1"/>
  </cols>
  <sheetData>
    <row r="1" spans="1:9" ht="28.05" customHeight="1" x14ac:dyDescent="0.4">
      <c r="A1" s="14" t="s">
        <v>0</v>
      </c>
      <c r="B1" s="15"/>
      <c r="C1" s="15"/>
      <c r="D1" s="15"/>
      <c r="E1" s="15"/>
      <c r="F1" s="15"/>
      <c r="G1" s="15"/>
      <c r="H1" s="15"/>
      <c r="I1" s="15"/>
    </row>
    <row r="3" spans="1:9" x14ac:dyDescent="0.25">
      <c r="A3" s="1" t="s">
        <v>1</v>
      </c>
      <c r="B3" t="s">
        <v>2</v>
      </c>
    </row>
    <row r="4" spans="1:9" x14ac:dyDescent="0.25">
      <c r="A4" s="1" t="s">
        <v>3</v>
      </c>
      <c r="B4" t="s">
        <v>4</v>
      </c>
    </row>
    <row r="5" spans="1:9" x14ac:dyDescent="0.25">
      <c r="A5" s="1" t="s">
        <v>5</v>
      </c>
      <c r="B5" t="s">
        <v>6</v>
      </c>
    </row>
    <row r="6" spans="1:9" x14ac:dyDescent="0.25">
      <c r="A6" s="1" t="s">
        <v>7</v>
      </c>
      <c r="B6" t="s">
        <v>8</v>
      </c>
    </row>
    <row r="7" spans="1:9" x14ac:dyDescent="0.25">
      <c r="A7" s="1" t="s">
        <v>9</v>
      </c>
      <c r="B7" t="s">
        <v>10</v>
      </c>
    </row>
    <row r="8" spans="1:9" x14ac:dyDescent="0.25">
      <c r="A8" s="1" t="s">
        <v>11</v>
      </c>
      <c r="B8" t="s">
        <v>12</v>
      </c>
    </row>
    <row r="9" spans="1:9" x14ac:dyDescent="0.25">
      <c r="A9" s="1" t="s">
        <v>13</v>
      </c>
      <c r="B9">
        <v>30</v>
      </c>
    </row>
    <row r="10" spans="1:9" x14ac:dyDescent="0.25">
      <c r="A10" s="1" t="s">
        <v>14</v>
      </c>
      <c r="B10" t="s">
        <v>15</v>
      </c>
    </row>
    <row r="12" spans="1:9" x14ac:dyDescent="0.25">
      <c r="A12" s="2" t="s">
        <v>16</v>
      </c>
      <c r="B12" s="2" t="s">
        <v>17</v>
      </c>
      <c r="C12" s="2" t="s">
        <v>18</v>
      </c>
      <c r="D12" s="2" t="s">
        <v>19</v>
      </c>
      <c r="E12" s="2" t="s">
        <v>20</v>
      </c>
      <c r="F12" s="2" t="s">
        <v>21</v>
      </c>
      <c r="G12" s="2" t="s">
        <v>22</v>
      </c>
      <c r="H12" s="2" t="s">
        <v>23</v>
      </c>
      <c r="I12" s="2" t="s">
        <v>24</v>
      </c>
    </row>
    <row r="13" spans="1:9" x14ac:dyDescent="0.25">
      <c r="A13" s="3" t="s">
        <v>25</v>
      </c>
      <c r="B13" s="3" t="s">
        <v>26</v>
      </c>
      <c r="C13" s="3" t="s">
        <v>27</v>
      </c>
      <c r="D13" s="3" t="s">
        <v>28</v>
      </c>
      <c r="E13" s="3" t="s">
        <v>29</v>
      </c>
      <c r="F13" s="4" t="s">
        <v>30</v>
      </c>
      <c r="G13" s="3">
        <v>200</v>
      </c>
      <c r="H13" s="3">
        <v>1190</v>
      </c>
      <c r="I13" s="3"/>
    </row>
    <row r="14" spans="1:9" x14ac:dyDescent="0.25">
      <c r="A14" s="3" t="s">
        <v>31</v>
      </c>
      <c r="B14" s="3" t="s">
        <v>32</v>
      </c>
      <c r="C14" s="3" t="s">
        <v>33</v>
      </c>
      <c r="D14" s="3" t="s">
        <v>34</v>
      </c>
      <c r="E14" s="3" t="s">
        <v>29</v>
      </c>
      <c r="F14" s="5" t="s">
        <v>35</v>
      </c>
      <c r="G14" s="3">
        <v>200</v>
      </c>
      <c r="H14" s="3">
        <v>836</v>
      </c>
      <c r="I14" s="3" t="s">
        <v>36</v>
      </c>
    </row>
    <row r="15" spans="1:9" x14ac:dyDescent="0.25">
      <c r="A15" s="3" t="s">
        <v>37</v>
      </c>
      <c r="B15" s="3" t="s">
        <v>38</v>
      </c>
      <c r="C15" s="3" t="s">
        <v>39</v>
      </c>
      <c r="D15" s="3" t="s">
        <v>34</v>
      </c>
      <c r="E15" s="3" t="s">
        <v>29</v>
      </c>
      <c r="F15" s="4" t="s">
        <v>30</v>
      </c>
      <c r="G15" s="3">
        <v>400</v>
      </c>
      <c r="H15" s="3">
        <v>1190</v>
      </c>
      <c r="I15" s="3"/>
    </row>
    <row r="16" spans="1:9" x14ac:dyDescent="0.25">
      <c r="A16" s="3" t="s">
        <v>40</v>
      </c>
      <c r="B16" s="3" t="s">
        <v>41</v>
      </c>
      <c r="C16" s="3" t="s">
        <v>42</v>
      </c>
      <c r="D16" s="3" t="s">
        <v>34</v>
      </c>
      <c r="E16" s="3" t="s">
        <v>29</v>
      </c>
      <c r="F16" s="4" t="s">
        <v>30</v>
      </c>
      <c r="G16" s="3">
        <v>400</v>
      </c>
      <c r="H16" s="3">
        <v>1250</v>
      </c>
      <c r="I16" s="3"/>
    </row>
    <row r="17" spans="1:9" x14ac:dyDescent="0.25">
      <c r="A17" s="3" t="s">
        <v>43</v>
      </c>
      <c r="B17" s="3" t="s">
        <v>44</v>
      </c>
      <c r="C17" s="3" t="s">
        <v>45</v>
      </c>
      <c r="D17" s="3" t="s">
        <v>34</v>
      </c>
      <c r="E17" s="3" t="s">
        <v>46</v>
      </c>
      <c r="F17" s="4" t="s">
        <v>30</v>
      </c>
      <c r="G17" s="3">
        <v>400</v>
      </c>
      <c r="H17" s="3">
        <v>1470</v>
      </c>
      <c r="I17" s="3"/>
    </row>
    <row r="18" spans="1:9" x14ac:dyDescent="0.25">
      <c r="A18" s="3" t="s">
        <v>47</v>
      </c>
      <c r="B18" s="3" t="s">
        <v>48</v>
      </c>
      <c r="C18" s="3" t="s">
        <v>49</v>
      </c>
      <c r="D18" s="3" t="s">
        <v>34</v>
      </c>
      <c r="E18" s="3" t="s">
        <v>29</v>
      </c>
      <c r="F18" s="5" t="s">
        <v>35</v>
      </c>
      <c r="G18" s="3">
        <v>200</v>
      </c>
      <c r="H18" s="3">
        <v>2050</v>
      </c>
      <c r="I18" s="3" t="s">
        <v>50</v>
      </c>
    </row>
    <row r="19" spans="1:9" x14ac:dyDescent="0.25">
      <c r="A19" s="3" t="s">
        <v>51</v>
      </c>
      <c r="B19" s="3" t="s">
        <v>52</v>
      </c>
      <c r="C19" s="3" t="s">
        <v>53</v>
      </c>
      <c r="D19" s="3" t="s">
        <v>34</v>
      </c>
      <c r="E19" s="3" t="s">
        <v>29</v>
      </c>
      <c r="F19" s="4" t="s">
        <v>30</v>
      </c>
      <c r="G19" s="3">
        <v>403</v>
      </c>
      <c r="H19" s="3">
        <v>989</v>
      </c>
      <c r="I19" s="3"/>
    </row>
    <row r="20" spans="1:9" x14ac:dyDescent="0.25">
      <c r="A20" s="3" t="s">
        <v>54</v>
      </c>
      <c r="B20" s="3" t="s">
        <v>55</v>
      </c>
      <c r="C20" s="3" t="s">
        <v>56</v>
      </c>
      <c r="D20" s="3" t="s">
        <v>28</v>
      </c>
      <c r="E20" s="3" t="s">
        <v>29</v>
      </c>
      <c r="F20" s="4" t="s">
        <v>30</v>
      </c>
      <c r="G20" s="3">
        <v>200</v>
      </c>
      <c r="H20" s="3">
        <v>1710</v>
      </c>
      <c r="I20" s="3"/>
    </row>
    <row r="21" spans="1:9" x14ac:dyDescent="0.25">
      <c r="A21" s="3" t="s">
        <v>57</v>
      </c>
      <c r="B21" s="3" t="s">
        <v>58</v>
      </c>
      <c r="C21" s="3" t="s">
        <v>59</v>
      </c>
      <c r="D21" s="3" t="s">
        <v>28</v>
      </c>
      <c r="E21" s="3" t="s">
        <v>46</v>
      </c>
      <c r="F21" s="4" t="s">
        <v>30</v>
      </c>
      <c r="G21" s="3">
        <v>200</v>
      </c>
      <c r="H21" s="3">
        <v>1360</v>
      </c>
      <c r="I21" s="3"/>
    </row>
    <row r="22" spans="1:9" x14ac:dyDescent="0.25">
      <c r="A22" s="3" t="s">
        <v>60</v>
      </c>
      <c r="B22" s="3" t="s">
        <v>61</v>
      </c>
      <c r="C22" s="3" t="s">
        <v>62</v>
      </c>
      <c r="D22" s="3" t="s">
        <v>28</v>
      </c>
      <c r="E22" s="3" t="s">
        <v>29</v>
      </c>
      <c r="F22" s="4" t="s">
        <v>30</v>
      </c>
      <c r="G22" s="3">
        <v>200</v>
      </c>
      <c r="H22" s="3">
        <v>1210</v>
      </c>
      <c r="I22" s="3" t="s">
        <v>63</v>
      </c>
    </row>
    <row r="23" spans="1:9" x14ac:dyDescent="0.25">
      <c r="A23" s="3" t="s">
        <v>64</v>
      </c>
      <c r="B23" s="3" t="s">
        <v>65</v>
      </c>
      <c r="C23" s="3" t="s">
        <v>66</v>
      </c>
      <c r="D23" s="3" t="s">
        <v>34</v>
      </c>
      <c r="E23" s="3" t="s">
        <v>46</v>
      </c>
      <c r="F23" s="4" t="s">
        <v>30</v>
      </c>
      <c r="G23" s="3">
        <v>404</v>
      </c>
      <c r="H23" s="3">
        <v>1240</v>
      </c>
      <c r="I23" s="3"/>
    </row>
    <row r="24" spans="1:9" x14ac:dyDescent="0.25">
      <c r="A24" s="3" t="s">
        <v>67</v>
      </c>
      <c r="B24" s="3" t="s">
        <v>68</v>
      </c>
      <c r="C24" s="3" t="s">
        <v>69</v>
      </c>
      <c r="D24" s="3" t="s">
        <v>34</v>
      </c>
      <c r="E24" s="3" t="s">
        <v>46</v>
      </c>
      <c r="F24" s="4" t="s">
        <v>30</v>
      </c>
      <c r="G24" s="3">
        <v>404</v>
      </c>
      <c r="H24" s="3">
        <v>1240</v>
      </c>
      <c r="I24" s="3"/>
    </row>
    <row r="25" spans="1:9" x14ac:dyDescent="0.25">
      <c r="A25" s="3" t="s">
        <v>70</v>
      </c>
      <c r="B25" s="3" t="s">
        <v>71</v>
      </c>
      <c r="C25" s="3" t="s">
        <v>72</v>
      </c>
      <c r="D25" s="3" t="s">
        <v>73</v>
      </c>
      <c r="E25" s="3" t="s">
        <v>46</v>
      </c>
      <c r="F25" s="4" t="s">
        <v>30</v>
      </c>
      <c r="G25" s="3">
        <v>200</v>
      </c>
      <c r="H25" s="3">
        <v>1140</v>
      </c>
      <c r="I25" s="3" t="s">
        <v>74</v>
      </c>
    </row>
    <row r="26" spans="1:9" x14ac:dyDescent="0.25">
      <c r="A26" s="3" t="s">
        <v>75</v>
      </c>
      <c r="B26" s="3" t="s">
        <v>58</v>
      </c>
      <c r="C26" s="3" t="s">
        <v>76</v>
      </c>
      <c r="D26" s="3" t="s">
        <v>73</v>
      </c>
      <c r="E26" s="3" t="s">
        <v>46</v>
      </c>
      <c r="F26" s="4" t="s">
        <v>30</v>
      </c>
      <c r="G26" s="3">
        <v>200</v>
      </c>
      <c r="H26" s="3">
        <v>1250</v>
      </c>
      <c r="I26" s="3"/>
    </row>
    <row r="27" spans="1:9" x14ac:dyDescent="0.25">
      <c r="A27" s="3" t="s">
        <v>77</v>
      </c>
      <c r="B27" s="3" t="s">
        <v>78</v>
      </c>
      <c r="C27" s="3" t="s">
        <v>79</v>
      </c>
      <c r="D27" s="3" t="s">
        <v>28</v>
      </c>
      <c r="E27" s="3" t="s">
        <v>29</v>
      </c>
      <c r="F27" s="4" t="s">
        <v>30</v>
      </c>
      <c r="G27" s="3">
        <v>201</v>
      </c>
      <c r="H27" s="3">
        <v>1146</v>
      </c>
      <c r="I27" s="3"/>
    </row>
    <row r="28" spans="1:9" x14ac:dyDescent="0.25">
      <c r="A28" s="3" t="s">
        <v>80</v>
      </c>
      <c r="B28" s="3" t="s">
        <v>81</v>
      </c>
      <c r="C28" s="3" t="s">
        <v>82</v>
      </c>
      <c r="D28" s="3" t="s">
        <v>34</v>
      </c>
      <c r="E28" s="3" t="s">
        <v>46</v>
      </c>
      <c r="F28" s="4" t="s">
        <v>30</v>
      </c>
      <c r="G28" s="3">
        <v>201</v>
      </c>
      <c r="H28" s="3">
        <v>1145</v>
      </c>
      <c r="I28" s="3" t="s">
        <v>83</v>
      </c>
    </row>
    <row r="29" spans="1:9" x14ac:dyDescent="0.25">
      <c r="A29" s="3" t="s">
        <v>84</v>
      </c>
      <c r="B29" s="3" t="s">
        <v>85</v>
      </c>
      <c r="C29" s="3" t="s">
        <v>86</v>
      </c>
      <c r="D29" s="3" t="s">
        <v>34</v>
      </c>
      <c r="E29" s="3" t="s">
        <v>46</v>
      </c>
      <c r="F29" s="4" t="s">
        <v>30</v>
      </c>
      <c r="G29" s="3">
        <v>201</v>
      </c>
      <c r="H29" s="3">
        <v>910</v>
      </c>
      <c r="I29" s="3" t="s">
        <v>83</v>
      </c>
    </row>
    <row r="30" spans="1:9" x14ac:dyDescent="0.25">
      <c r="A30" s="3" t="s">
        <v>87</v>
      </c>
      <c r="B30" s="3" t="s">
        <v>88</v>
      </c>
      <c r="C30" s="3" t="s">
        <v>89</v>
      </c>
      <c r="D30" s="3" t="s">
        <v>34</v>
      </c>
      <c r="E30" s="3" t="s">
        <v>46</v>
      </c>
      <c r="F30" s="4" t="s">
        <v>30</v>
      </c>
      <c r="G30" s="3">
        <v>201</v>
      </c>
      <c r="H30" s="3">
        <v>1121</v>
      </c>
      <c r="I30" s="3" t="s">
        <v>83</v>
      </c>
    </row>
    <row r="31" spans="1:9" x14ac:dyDescent="0.25">
      <c r="A31" s="3" t="s">
        <v>90</v>
      </c>
      <c r="B31" s="3" t="s">
        <v>78</v>
      </c>
      <c r="C31" s="3" t="s">
        <v>91</v>
      </c>
      <c r="D31" s="3" t="s">
        <v>73</v>
      </c>
      <c r="E31" s="3" t="s">
        <v>46</v>
      </c>
      <c r="F31" s="4" t="s">
        <v>30</v>
      </c>
      <c r="G31" s="3">
        <v>201</v>
      </c>
      <c r="H31" s="3">
        <v>1085</v>
      </c>
      <c r="I31" s="3"/>
    </row>
    <row r="32" spans="1:9" x14ac:dyDescent="0.25">
      <c r="A32" s="3" t="s">
        <v>92</v>
      </c>
      <c r="B32" s="3" t="s">
        <v>93</v>
      </c>
      <c r="C32" s="3" t="s">
        <v>94</v>
      </c>
      <c r="D32" s="3" t="s">
        <v>28</v>
      </c>
      <c r="E32" s="3" t="s">
        <v>29</v>
      </c>
      <c r="F32" s="4" t="s">
        <v>30</v>
      </c>
      <c r="G32" s="3">
        <v>200</v>
      </c>
      <c r="H32" s="3">
        <v>1189</v>
      </c>
      <c r="I32" s="3"/>
    </row>
    <row r="33" spans="1:9" x14ac:dyDescent="0.25">
      <c r="A33" s="3" t="s">
        <v>95</v>
      </c>
      <c r="B33" s="3" t="s">
        <v>96</v>
      </c>
      <c r="C33" s="3" t="s">
        <v>97</v>
      </c>
      <c r="D33" s="3" t="s">
        <v>34</v>
      </c>
      <c r="E33" s="3" t="s">
        <v>46</v>
      </c>
      <c r="F33" s="4" t="s">
        <v>30</v>
      </c>
      <c r="G33" s="3">
        <v>200</v>
      </c>
      <c r="H33" s="3">
        <v>1149</v>
      </c>
      <c r="I33" s="3" t="s">
        <v>98</v>
      </c>
    </row>
    <row r="34" spans="1:9" x14ac:dyDescent="0.25">
      <c r="A34" s="3" t="s">
        <v>99</v>
      </c>
      <c r="B34" s="3" t="s">
        <v>93</v>
      </c>
      <c r="C34" s="3" t="s">
        <v>100</v>
      </c>
      <c r="D34" s="3" t="s">
        <v>73</v>
      </c>
      <c r="E34" s="3" t="s">
        <v>46</v>
      </c>
      <c r="F34" s="4" t="s">
        <v>30</v>
      </c>
      <c r="G34" s="3">
        <v>200</v>
      </c>
      <c r="H34" s="3">
        <v>575</v>
      </c>
      <c r="I34" s="3"/>
    </row>
    <row r="35" spans="1:9" x14ac:dyDescent="0.25">
      <c r="A35" s="3" t="s">
        <v>101</v>
      </c>
      <c r="B35" s="3" t="s">
        <v>102</v>
      </c>
      <c r="C35" s="3" t="s">
        <v>103</v>
      </c>
      <c r="D35" s="3" t="s">
        <v>28</v>
      </c>
      <c r="E35" s="3" t="s">
        <v>29</v>
      </c>
      <c r="F35" s="4" t="s">
        <v>30</v>
      </c>
      <c r="G35" s="3">
        <v>200</v>
      </c>
      <c r="H35" s="3">
        <v>1132</v>
      </c>
      <c r="I35" s="3"/>
    </row>
    <row r="36" spans="1:9" x14ac:dyDescent="0.25">
      <c r="A36" s="3" t="s">
        <v>104</v>
      </c>
      <c r="B36" s="3" t="s">
        <v>105</v>
      </c>
      <c r="C36" s="3" t="s">
        <v>106</v>
      </c>
      <c r="D36" s="3" t="s">
        <v>28</v>
      </c>
      <c r="E36" s="3" t="s">
        <v>29</v>
      </c>
      <c r="F36" s="4" t="s">
        <v>30</v>
      </c>
      <c r="G36" s="3">
        <v>204</v>
      </c>
      <c r="H36" s="3">
        <v>1158</v>
      </c>
      <c r="I36" s="3"/>
    </row>
    <row r="37" spans="1:9" x14ac:dyDescent="0.25">
      <c r="A37" s="3" t="s">
        <v>107</v>
      </c>
      <c r="B37" s="3" t="s">
        <v>108</v>
      </c>
      <c r="C37" s="3" t="s">
        <v>109</v>
      </c>
      <c r="D37" s="3" t="s">
        <v>34</v>
      </c>
      <c r="E37" s="3" t="s">
        <v>46</v>
      </c>
      <c r="F37" s="4" t="s">
        <v>30</v>
      </c>
      <c r="G37" s="3">
        <v>204</v>
      </c>
      <c r="H37" s="3">
        <v>1178</v>
      </c>
      <c r="I37" s="3"/>
    </row>
    <row r="38" spans="1:9" x14ac:dyDescent="0.25">
      <c r="A38" s="3" t="s">
        <v>110</v>
      </c>
      <c r="B38" s="3" t="s">
        <v>71</v>
      </c>
      <c r="C38" s="3" t="s">
        <v>111</v>
      </c>
      <c r="D38" s="3" t="s">
        <v>73</v>
      </c>
      <c r="E38" s="3" t="s">
        <v>29</v>
      </c>
      <c r="F38" s="4" t="s">
        <v>30</v>
      </c>
      <c r="G38" s="3">
        <v>200</v>
      </c>
      <c r="H38" s="3">
        <v>1399</v>
      </c>
      <c r="I38" s="3"/>
    </row>
    <row r="39" spans="1:9" x14ac:dyDescent="0.25">
      <c r="A39" s="3" t="s">
        <v>112</v>
      </c>
      <c r="B39" s="3" t="s">
        <v>71</v>
      </c>
      <c r="C39" s="3" t="s">
        <v>113</v>
      </c>
      <c r="D39" s="3" t="s">
        <v>73</v>
      </c>
      <c r="E39" s="3" t="s">
        <v>46</v>
      </c>
      <c r="F39" s="4" t="s">
        <v>30</v>
      </c>
      <c r="G39" s="3">
        <v>200</v>
      </c>
      <c r="H39" s="3">
        <v>791</v>
      </c>
      <c r="I39" s="3"/>
    </row>
    <row r="40" spans="1:9" x14ac:dyDescent="0.25">
      <c r="A40" s="3" t="s">
        <v>114</v>
      </c>
      <c r="B40" s="3" t="s">
        <v>71</v>
      </c>
      <c r="C40" s="3" t="s">
        <v>115</v>
      </c>
      <c r="D40" s="3" t="s">
        <v>73</v>
      </c>
      <c r="E40" s="3" t="s">
        <v>116</v>
      </c>
      <c r="F40" s="4" t="s">
        <v>30</v>
      </c>
      <c r="G40" s="3">
        <v>200</v>
      </c>
      <c r="H40" s="3">
        <v>974</v>
      </c>
      <c r="I40" s="3"/>
    </row>
    <row r="41" spans="1:9" x14ac:dyDescent="0.25">
      <c r="A41" s="3" t="s">
        <v>117</v>
      </c>
      <c r="B41" s="3" t="s">
        <v>71</v>
      </c>
      <c r="C41" s="3" t="s">
        <v>118</v>
      </c>
      <c r="D41" s="3" t="s">
        <v>73</v>
      </c>
      <c r="E41" s="3" t="s">
        <v>46</v>
      </c>
      <c r="F41" s="4" t="s">
        <v>30</v>
      </c>
      <c r="G41" s="3">
        <v>200</v>
      </c>
      <c r="H41" s="3">
        <v>961</v>
      </c>
      <c r="I41" s="3"/>
    </row>
    <row r="42" spans="1:9" x14ac:dyDescent="0.25">
      <c r="A42" s="3" t="s">
        <v>119</v>
      </c>
      <c r="B42" s="3" t="s">
        <v>71</v>
      </c>
      <c r="C42" s="3" t="s">
        <v>120</v>
      </c>
      <c r="D42" s="3" t="s">
        <v>73</v>
      </c>
      <c r="E42" s="3" t="s">
        <v>46</v>
      </c>
      <c r="F42" s="4" t="s">
        <v>30</v>
      </c>
      <c r="G42" s="3">
        <v>200</v>
      </c>
      <c r="H42" s="3">
        <v>1095</v>
      </c>
      <c r="I42" s="3"/>
    </row>
  </sheetData>
  <mergeCells count="1">
    <mergeCell ref="A1:I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showGridLines="0" workbookViewId="0"/>
  </sheetViews>
  <sheetFormatPr baseColWidth="10" defaultColWidth="8.796875" defaultRowHeight="13.8" x14ac:dyDescent="0.25"/>
  <cols>
    <col min="1" max="1" width="24" customWidth="1"/>
    <col min="2" max="2" width="42" customWidth="1"/>
    <col min="3" max="4" width="18" customWidth="1"/>
    <col min="5" max="5" width="14" customWidth="1"/>
    <col min="6" max="6" width="18" customWidth="1"/>
    <col min="7" max="7" width="14" customWidth="1"/>
    <col min="8" max="8" width="18" customWidth="1"/>
  </cols>
  <sheetData>
    <row r="1" spans="1:10" ht="21" x14ac:dyDescent="0.4">
      <c r="A1" s="14" t="s">
        <v>121</v>
      </c>
      <c r="B1" s="15"/>
      <c r="C1" s="15"/>
      <c r="D1" s="15"/>
      <c r="E1" s="15"/>
      <c r="F1" s="15"/>
      <c r="G1" s="15"/>
      <c r="H1" s="15"/>
    </row>
    <row r="3" spans="1:10" ht="15.6" x14ac:dyDescent="0.3">
      <c r="A3" s="6" t="s">
        <v>122</v>
      </c>
      <c r="D3" s="6" t="s">
        <v>123</v>
      </c>
    </row>
    <row r="4" spans="1:10" x14ac:dyDescent="0.25">
      <c r="A4" s="7" t="s">
        <v>1</v>
      </c>
      <c r="B4" t="s">
        <v>2</v>
      </c>
      <c r="D4" s="1" t="s">
        <v>124</v>
      </c>
      <c r="E4">
        <f>COUNTA('Execution Results'!A13:A42)</f>
        <v>30</v>
      </c>
    </row>
    <row r="5" spans="1:10" x14ac:dyDescent="0.25">
      <c r="A5" s="7" t="s">
        <v>3</v>
      </c>
      <c r="B5" t="s">
        <v>4</v>
      </c>
      <c r="D5" s="1" t="s">
        <v>30</v>
      </c>
      <c r="E5">
        <f>COUNTIF('Execution Results'!F13:F42,"PASS")</f>
        <v>28</v>
      </c>
    </row>
    <row r="6" spans="1:10" x14ac:dyDescent="0.25">
      <c r="A6" s="7" t="s">
        <v>5</v>
      </c>
      <c r="B6" t="s">
        <v>6</v>
      </c>
      <c r="D6" s="1" t="s">
        <v>35</v>
      </c>
      <c r="E6">
        <f>COUNTIF('Execution Results'!F13:F42,"FAIL")</f>
        <v>2</v>
      </c>
    </row>
    <row r="7" spans="1:10" x14ac:dyDescent="0.25">
      <c r="A7" s="7" t="s">
        <v>7</v>
      </c>
      <c r="B7" t="s">
        <v>8</v>
      </c>
      <c r="D7" s="1" t="s">
        <v>125</v>
      </c>
      <c r="E7">
        <f>COUNTIF('Execution Results'!F13:F42,"NOT RUN")</f>
        <v>0</v>
      </c>
    </row>
    <row r="8" spans="1:10" x14ac:dyDescent="0.25">
      <c r="A8" s="7" t="s">
        <v>9</v>
      </c>
      <c r="B8" t="s">
        <v>10</v>
      </c>
      <c r="D8" s="1" t="s">
        <v>126</v>
      </c>
      <c r="E8" s="8">
        <f>E5/E4</f>
        <v>0.93333333333333335</v>
      </c>
    </row>
    <row r="9" spans="1:10" x14ac:dyDescent="0.25">
      <c r="A9" s="7" t="s">
        <v>11</v>
      </c>
      <c r="B9" t="s">
        <v>12</v>
      </c>
      <c r="D9" s="1" t="s">
        <v>127</v>
      </c>
      <c r="E9" s="8">
        <f>E6/E4</f>
        <v>6.6666666666666666E-2</v>
      </c>
    </row>
    <row r="11" spans="1:10" ht="15.6" x14ac:dyDescent="0.3">
      <c r="A11" s="6" t="s">
        <v>128</v>
      </c>
      <c r="F11" s="6" t="s">
        <v>129</v>
      </c>
    </row>
    <row r="13" spans="1:10" x14ac:dyDescent="0.25">
      <c r="A13" s="9" t="s">
        <v>19</v>
      </c>
      <c r="B13" s="9" t="s">
        <v>124</v>
      </c>
      <c r="C13" s="9" t="s">
        <v>30</v>
      </c>
      <c r="D13" s="9" t="s">
        <v>35</v>
      </c>
      <c r="F13" s="10" t="s">
        <v>130</v>
      </c>
      <c r="G13" s="10" t="s">
        <v>131</v>
      </c>
      <c r="H13" s="10" t="s">
        <v>18</v>
      </c>
      <c r="I13" s="10" t="s">
        <v>132</v>
      </c>
      <c r="J13" s="10" t="s">
        <v>20</v>
      </c>
    </row>
    <row r="14" spans="1:10" x14ac:dyDescent="0.25">
      <c r="A14" t="s">
        <v>28</v>
      </c>
      <c r="B14">
        <f>COUNTIF('Execution Results'!D13:D42,A14)</f>
        <v>8</v>
      </c>
      <c r="C14">
        <f>COUNTIFS('Execution Results'!D13:D42,A14,'Execution Results'!F13:F42,"PASS")</f>
        <v>8</v>
      </c>
      <c r="D14">
        <f>COUNTIFS('Execution Results'!D13:D42,A14,'Execution Results'!F13:F42,"FAIL")</f>
        <v>0</v>
      </c>
      <c r="F14" t="s">
        <v>133</v>
      </c>
      <c r="G14" t="s">
        <v>134</v>
      </c>
      <c r="H14" t="s">
        <v>31</v>
      </c>
      <c r="I14" t="s">
        <v>29</v>
      </c>
      <c r="J14" t="s">
        <v>135</v>
      </c>
    </row>
    <row r="15" spans="1:10" x14ac:dyDescent="0.25">
      <c r="A15" t="s">
        <v>34</v>
      </c>
      <c r="B15">
        <f>COUNTIF('Execution Results'!D13:D42,A15)</f>
        <v>13</v>
      </c>
      <c r="C15">
        <f>COUNTIFS('Execution Results'!D13:D42,A15,'Execution Results'!F13:F42,"PASS")</f>
        <v>11</v>
      </c>
      <c r="D15">
        <f>COUNTIFS('Execution Results'!D13:D42,A15,'Execution Results'!F13:F42,"FAIL")</f>
        <v>2</v>
      </c>
      <c r="F15" t="s">
        <v>136</v>
      </c>
      <c r="G15" t="s">
        <v>137</v>
      </c>
      <c r="H15" t="s">
        <v>47</v>
      </c>
      <c r="I15" t="s">
        <v>29</v>
      </c>
      <c r="J15" t="s">
        <v>135</v>
      </c>
    </row>
    <row r="16" spans="1:10" x14ac:dyDescent="0.25">
      <c r="A16" t="s">
        <v>73</v>
      </c>
      <c r="B16">
        <f>COUNTIF('Execution Results'!D13:D42,A16)</f>
        <v>9</v>
      </c>
      <c r="C16">
        <f>COUNTIFS('Execution Results'!D13:D42,A16,'Execution Results'!F13:F42,"PASS")</f>
        <v>9</v>
      </c>
      <c r="D16">
        <f>COUNTIFS('Execution Results'!D13:D42,A16,'Execution Results'!F13:F42,"FAIL")</f>
        <v>0</v>
      </c>
    </row>
    <row r="19" spans="1:8" ht="15.6" x14ac:dyDescent="0.3">
      <c r="A19" s="6" t="s">
        <v>138</v>
      </c>
    </row>
    <row r="20" spans="1:8" x14ac:dyDescent="0.25">
      <c r="A20" s="16" t="s">
        <v>139</v>
      </c>
      <c r="B20" s="15"/>
      <c r="C20" s="15"/>
      <c r="D20" s="15"/>
      <c r="E20" s="15"/>
      <c r="F20" s="15"/>
      <c r="G20" s="15"/>
      <c r="H20" s="15"/>
    </row>
    <row r="21" spans="1:8" x14ac:dyDescent="0.25">
      <c r="A21" s="16" t="s">
        <v>140</v>
      </c>
      <c r="B21" s="15"/>
      <c r="C21" s="15"/>
      <c r="D21" s="15"/>
      <c r="E21" s="15"/>
      <c r="F21" s="15"/>
      <c r="G21" s="15"/>
      <c r="H21" s="15"/>
    </row>
    <row r="22" spans="1:8" x14ac:dyDescent="0.25">
      <c r="A22" s="16" t="s">
        <v>141</v>
      </c>
      <c r="B22" s="15"/>
      <c r="C22" s="15"/>
      <c r="D22" s="15"/>
      <c r="E22" s="15"/>
      <c r="F22" s="15"/>
      <c r="G22" s="15"/>
      <c r="H22" s="15"/>
    </row>
    <row r="23" spans="1:8" x14ac:dyDescent="0.25">
      <c r="A23" s="16" t="s">
        <v>142</v>
      </c>
      <c r="B23" s="15"/>
      <c r="C23" s="15"/>
      <c r="D23" s="15"/>
      <c r="E23" s="15"/>
      <c r="F23" s="15"/>
      <c r="G23" s="15"/>
      <c r="H23" s="15"/>
    </row>
    <row r="24" spans="1:8" x14ac:dyDescent="0.25">
      <c r="A24" s="16" t="s">
        <v>143</v>
      </c>
      <c r="B24" s="15"/>
      <c r="C24" s="15"/>
      <c r="D24" s="15"/>
      <c r="E24" s="15"/>
      <c r="F24" s="15"/>
      <c r="G24" s="15"/>
      <c r="H24" s="15"/>
    </row>
    <row r="25" spans="1:8" x14ac:dyDescent="0.25">
      <c r="A25" s="16" t="s">
        <v>144</v>
      </c>
      <c r="B25" s="15"/>
      <c r="C25" s="15"/>
      <c r="D25" s="15"/>
      <c r="E25" s="15"/>
      <c r="F25" s="15"/>
      <c r="G25" s="15"/>
      <c r="H25" s="15"/>
    </row>
  </sheetData>
  <mergeCells count="7">
    <mergeCell ref="A21:H21"/>
    <mergeCell ref="A25:H25"/>
    <mergeCell ref="A20:H20"/>
    <mergeCell ref="A24:H24"/>
    <mergeCell ref="A1:H1"/>
    <mergeCell ref="A23:H23"/>
    <mergeCell ref="A22:H2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showGridLines="0" workbookViewId="0">
      <pane ySplit="3" topLeftCell="A4" activePane="bottomLeft" state="frozen"/>
      <selection pane="bottomLeft"/>
    </sheetView>
  </sheetViews>
  <sheetFormatPr baseColWidth="10" defaultColWidth="8.796875" defaultRowHeight="13.8" x14ac:dyDescent="0.25"/>
  <cols>
    <col min="1" max="1" width="18" customWidth="1"/>
    <col min="2" max="2" width="14" customWidth="1"/>
    <col min="3" max="4" width="18" customWidth="1"/>
    <col min="5" max="5" width="55" customWidth="1"/>
    <col min="6" max="6" width="14" customWidth="1"/>
    <col min="7" max="7" width="12" customWidth="1"/>
    <col min="8" max="8" width="14" customWidth="1"/>
  </cols>
  <sheetData>
    <row r="1" spans="1:8" ht="21" x14ac:dyDescent="0.4">
      <c r="A1" s="14" t="s">
        <v>145</v>
      </c>
      <c r="B1" s="15"/>
      <c r="C1" s="15"/>
      <c r="D1" s="15"/>
      <c r="E1" s="15"/>
      <c r="F1" s="15"/>
      <c r="G1" s="15"/>
      <c r="H1" s="15"/>
    </row>
    <row r="3" spans="1:8" x14ac:dyDescent="0.25">
      <c r="A3" s="2" t="s">
        <v>146</v>
      </c>
      <c r="B3" s="2" t="s">
        <v>131</v>
      </c>
      <c r="C3" s="2" t="s">
        <v>16</v>
      </c>
      <c r="D3" s="2" t="s">
        <v>17</v>
      </c>
      <c r="E3" s="2" t="s">
        <v>147</v>
      </c>
      <c r="F3" s="2" t="s">
        <v>132</v>
      </c>
      <c r="G3" s="2" t="s">
        <v>20</v>
      </c>
      <c r="H3" s="2" t="s">
        <v>21</v>
      </c>
    </row>
    <row r="4" spans="1:8" x14ac:dyDescent="0.25">
      <c r="A4" s="11" t="s">
        <v>133</v>
      </c>
      <c r="B4" s="11" t="s">
        <v>134</v>
      </c>
      <c r="C4" s="11" t="s">
        <v>31</v>
      </c>
      <c r="D4" s="11" t="s">
        <v>32</v>
      </c>
      <c r="E4" s="11" t="s">
        <v>148</v>
      </c>
      <c r="F4" s="11" t="s">
        <v>29</v>
      </c>
      <c r="G4" s="11" t="s">
        <v>135</v>
      </c>
      <c r="H4" s="11" t="s">
        <v>149</v>
      </c>
    </row>
    <row r="5" spans="1:8" x14ac:dyDescent="0.25">
      <c r="A5" s="11" t="s">
        <v>136</v>
      </c>
      <c r="B5" s="11" t="s">
        <v>137</v>
      </c>
      <c r="C5" s="11" t="s">
        <v>47</v>
      </c>
      <c r="D5" s="11" t="s">
        <v>48</v>
      </c>
      <c r="E5" s="11" t="s">
        <v>150</v>
      </c>
      <c r="F5" s="11" t="s">
        <v>29</v>
      </c>
      <c r="G5" s="11" t="s">
        <v>135</v>
      </c>
      <c r="H5" s="11" t="s">
        <v>149</v>
      </c>
    </row>
  </sheetData>
  <mergeCells count="1">
    <mergeCell ref="A1:H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showGridLines="0" workbookViewId="0"/>
  </sheetViews>
  <sheetFormatPr baseColWidth="10" defaultColWidth="8.796875" defaultRowHeight="13.8" x14ac:dyDescent="0.25"/>
  <cols>
    <col min="1" max="1" width="18" customWidth="1"/>
    <col min="2" max="2" width="35" customWidth="1"/>
    <col min="3" max="4" width="20" customWidth="1"/>
  </cols>
  <sheetData>
    <row r="1" spans="1:4" ht="21" x14ac:dyDescent="0.4">
      <c r="A1" s="14" t="s">
        <v>151</v>
      </c>
      <c r="B1" s="15"/>
      <c r="C1" s="15"/>
      <c r="D1" s="15"/>
    </row>
    <row r="3" spans="1:4" x14ac:dyDescent="0.25">
      <c r="A3" s="12" t="s">
        <v>30</v>
      </c>
      <c r="B3" s="16" t="s">
        <v>152</v>
      </c>
      <c r="C3" s="15"/>
      <c r="D3" s="15"/>
    </row>
    <row r="4" spans="1:4" x14ac:dyDescent="0.25">
      <c r="A4" s="13" t="s">
        <v>35</v>
      </c>
      <c r="B4" s="16" t="s">
        <v>153</v>
      </c>
      <c r="C4" s="15"/>
      <c r="D4" s="15"/>
    </row>
    <row r="5" spans="1:4" x14ac:dyDescent="0.25">
      <c r="A5" s="1" t="s">
        <v>125</v>
      </c>
      <c r="B5" s="16" t="s">
        <v>154</v>
      </c>
      <c r="C5" s="15"/>
      <c r="D5" s="15"/>
    </row>
  </sheetData>
  <mergeCells count="4">
    <mergeCell ref="A1:D1"/>
    <mergeCell ref="B3:D3"/>
    <mergeCell ref="B5:D5"/>
    <mergeCell ref="B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Execution Results</vt:lpstr>
      <vt:lpstr>Summary</vt:lpstr>
      <vt:lpstr>Bug Traceability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HP-Omen-15</cp:lastModifiedBy>
  <dcterms:created xsi:type="dcterms:W3CDTF">2026-09-18T04:49:39Z</dcterms:created>
  <dcterms:modified xsi:type="dcterms:W3CDTF">2026-09-18T17:25:46Z</dcterms:modified>
</cp:coreProperties>
</file>